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SD Externo Manuel/manuelrazo/Documents/Manuel Razo/Proyectos Varios/global-markets-projects/global-markets-projects/FX_Forward_Hedging_Model/"/>
    </mc:Choice>
  </mc:AlternateContent>
  <xr:revisionPtr revIDLastSave="0" documentId="8_{61371580-A494-A84B-806E-8E9DE8348A88}" xr6:coauthVersionLast="47" xr6:coauthVersionMax="47" xr10:uidLastSave="{00000000-0000-0000-0000-000000000000}"/>
  <bookViews>
    <workbookView xWindow="0" yWindow="0" windowWidth="60160" windowHeight="16920" xr2:uid="{22587CFF-D801-944C-A5FB-84D413123907}"/>
  </bookViews>
  <sheets>
    <sheet name="Inputs" sheetId="1" r:id="rId1"/>
    <sheet name="Forward Pricing" sheetId="2" r:id="rId2"/>
    <sheet name="Scenario Analysis" sheetId="4" r:id="rId3"/>
  </sheets>
  <definedNames>
    <definedName name="_xlchart.v1.0" hidden="1">'Scenario Analysis'!#REF!</definedName>
    <definedName name="_xlchart.v1.1" hidden="1">'Scenario Analysis'!#REF!</definedName>
    <definedName name="_xlchart.v1.10" hidden="1">'Scenario Analysis'!#REF!</definedName>
    <definedName name="_xlchart.v1.11" hidden="1">'Scenario Analysis'!#REF!</definedName>
    <definedName name="_xlchart.v1.2" hidden="1">'Scenario Analysis'!#REF!</definedName>
    <definedName name="_xlchart.v1.3" hidden="1">'Scenario Analysis'!#REF!</definedName>
    <definedName name="_xlchart.v1.4" hidden="1">'Scenario Analysis'!#REF!</definedName>
    <definedName name="_xlchart.v1.5" hidden="1">'Scenario Analysis'!#REF!</definedName>
    <definedName name="_xlchart.v1.6" hidden="1">'Scenario Analysis'!#REF!</definedName>
    <definedName name="_xlchart.v1.7" hidden="1">'Scenario Analysis'!#REF!</definedName>
    <definedName name="_xlchart.v1.8" hidden="1">'Scenario Analysis'!#REF!</definedName>
    <definedName name="_xlchart.v1.9" hidden="1">'Scenario Analysis'!#REF!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4" l="1"/>
  <c r="C17" i="4"/>
  <c r="C16" i="4"/>
  <c r="C15" i="4"/>
  <c r="C14" i="4"/>
  <c r="C13" i="4"/>
  <c r="C12" i="4"/>
  <c r="C11" i="4"/>
  <c r="B18" i="4"/>
  <c r="B17" i="4"/>
  <c r="B16" i="4"/>
  <c r="B15" i="4"/>
  <c r="B14" i="4"/>
  <c r="B13" i="4"/>
  <c r="B12" i="4"/>
  <c r="B11" i="4"/>
  <c r="C7" i="4"/>
  <c r="C6" i="4"/>
  <c r="B7" i="4"/>
  <c r="B6" i="4"/>
  <c r="B5" i="4"/>
  <c r="C5" i="4" s="1"/>
  <c r="B4" i="4"/>
  <c r="C4" i="4" s="1"/>
  <c r="B10" i="2"/>
  <c r="B6" i="2"/>
  <c r="B5" i="2"/>
  <c r="B4" i="2"/>
  <c r="B8" i="1"/>
  <c r="B7" i="2" s="1"/>
  <c r="B8" i="2" l="1"/>
  <c r="B9" i="2" l="1"/>
  <c r="B11" i="2"/>
  <c r="D4" i="4" l="1"/>
  <c r="D7" i="4"/>
  <c r="D5" i="4"/>
  <c r="D6" i="4"/>
  <c r="E4" i="4" l="1"/>
  <c r="F4" i="4" s="1"/>
  <c r="E7" i="4"/>
  <c r="F7" i="4" s="1"/>
  <c r="E5" i="4"/>
  <c r="F5" i="4" s="1"/>
  <c r="E6" i="4"/>
  <c r="F6" i="4" s="1"/>
</calcChain>
</file>

<file path=xl/sharedStrings.xml><?xml version="1.0" encoding="utf-8"?>
<sst xmlns="http://schemas.openxmlformats.org/spreadsheetml/2006/main" count="52" uniqueCount="44">
  <si>
    <t>FX Forward Hedging Model</t>
  </si>
  <si>
    <t>Input</t>
  </si>
  <si>
    <t>Value</t>
  </si>
  <si>
    <t>Spot USD/MXN</t>
  </si>
  <si>
    <t>MXN Interest Rate</t>
  </si>
  <si>
    <t>USD Interest Rate</t>
  </si>
  <si>
    <t>Tenor (Months)</t>
  </si>
  <si>
    <t>Time in Years</t>
  </si>
  <si>
    <t>USD Notional</t>
  </si>
  <si>
    <t>Scenario Spot 1</t>
  </si>
  <si>
    <t>Scenario Spot 2</t>
  </si>
  <si>
    <t>Scenario Spot 3</t>
  </si>
  <si>
    <t>Scenario Spot 4</t>
  </si>
  <si>
    <t>Forward Pricing Summary</t>
  </si>
  <si>
    <t>Metric</t>
  </si>
  <si>
    <t>MXN Rate</t>
  </si>
  <si>
    <t>USD Rate</t>
  </si>
  <si>
    <t>Time (Years)</t>
  </si>
  <si>
    <t>Theoretical Forward</t>
  </si>
  <si>
    <t>Forward Points</t>
  </si>
  <si>
    <t>Hedged MXN Cost</t>
  </si>
  <si>
    <t>FX Hedging Scenario Analysis</t>
  </si>
  <si>
    <t>Scenario</t>
  </si>
  <si>
    <t>Spot at Maturity</t>
  </si>
  <si>
    <t>Unhedged MXN Cost</t>
  </si>
  <si>
    <t>Difference (Hedged - Unhedged)</t>
  </si>
  <si>
    <t>Interpretation</t>
  </si>
  <si>
    <t>Scenario 1</t>
  </si>
  <si>
    <t>Scenario 2</t>
  </si>
  <si>
    <t>Scenario 3</t>
  </si>
  <si>
    <t>Scenario 4</t>
  </si>
  <si>
    <t>Forward vs Spot Interpretation</t>
  </si>
  <si>
    <t>Forward above spot due to positive MXN-USD rate differential</t>
  </si>
  <si>
    <t>Key Takeaway</t>
  </si>
  <si>
    <t>Forward vs Spot</t>
  </si>
  <si>
    <t>Forward above spot</t>
  </si>
  <si>
    <t>Reason</t>
  </si>
  <si>
    <t>Positive MXN-USD interest rate differential</t>
  </si>
  <si>
    <t>Hedging Effect</t>
  </si>
  <si>
    <t>Locks in MXN cost and reduces FX uncertainty</t>
  </si>
  <si>
    <t>Best Case for Hedge</t>
  </si>
  <si>
    <t>Spot at maturity above forward</t>
  </si>
  <si>
    <t>Trade-off</t>
  </si>
  <si>
    <t>May look expensive ex post if spot ends below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</si>
</sst>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;\-&quot;$&quot;#,##0.00"/>
    <numFmt numFmtId="43" formatCode="_-* #,##0.00_-;\-* #,##0.00_-;_-* &quot;-&quot;??_-;_-@_-"/>
    <numFmt numFmtId="164" formatCode="&quot;$&quot;#,##0.00"/>
    <numFmt numFmtId="165" formatCode="&quot;$&quot;#,##0.00;[Red]&quot;$&quot;#,##0.00"/>
    <numFmt numFmtId="166" formatCode="0.000000"/>
    <numFmt numFmtId="175" formatCode="&quot;$&quot;#,##0.000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0" fontId="0" fillId="0" borderId="5" xfId="0" applyNumberFormat="1" applyBorder="1"/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164" fontId="0" fillId="0" borderId="7" xfId="0" applyNumberFormat="1" applyBorder="1"/>
    <xf numFmtId="165" fontId="0" fillId="0" borderId="7" xfId="0" applyNumberFormat="1" applyBorder="1"/>
    <xf numFmtId="164" fontId="0" fillId="0" borderId="5" xfId="0" applyNumberFormat="1" applyBorder="1"/>
    <xf numFmtId="164" fontId="0" fillId="0" borderId="8" xfId="1" applyNumberFormat="1" applyFont="1" applyBorder="1"/>
    <xf numFmtId="164" fontId="0" fillId="0" borderId="8" xfId="0" applyNumberFormat="1" applyBorder="1"/>
    <xf numFmtId="166" fontId="0" fillId="0" borderId="5" xfId="0" applyNumberFormat="1" applyBorder="1"/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Border="1"/>
    <xf numFmtId="165" fontId="0" fillId="0" borderId="0" xfId="0" applyNumberFormat="1" applyBorder="1"/>
    <xf numFmtId="0" fontId="0" fillId="0" borderId="8" xfId="0" applyBorder="1"/>
    <xf numFmtId="164" fontId="0" fillId="0" borderId="4" xfId="0" applyNumberFormat="1" applyBorder="1"/>
    <xf numFmtId="164" fontId="0" fillId="0" borderId="6" xfId="0" applyNumberFormat="1" applyBorder="1"/>
    <xf numFmtId="0" fontId="0" fillId="0" borderId="0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7" fontId="0" fillId="0" borderId="0" xfId="0" applyNumberFormat="1" applyBorder="1"/>
    <xf numFmtId="7" fontId="0" fillId="0" borderId="7" xfId="0" applyNumberFormat="1" applyBorder="1"/>
    <xf numFmtId="175" fontId="0" fillId="0" borderId="5" xfId="0" applyNumberForma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8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Hedged vs Unhedged MXN Cost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'Scenario Analysis'!$B$10</c:f>
              <c:strCache>
                <c:ptCount val="1"/>
                <c:pt idx="0">
                  <c:v>Unhedged MXN Cost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'Scenario Analysis'!$A$11:$A$18</c:f>
              <c:numCache>
                <c:formatCode>"$"#,##0.00</c:formatCode>
                <c:ptCount val="8"/>
                <c:pt idx="0">
                  <c:v>16.399999999999999</c:v>
                </c:pt>
                <c:pt idx="1">
                  <c:v>16.8</c:v>
                </c:pt>
                <c:pt idx="2">
                  <c:v>17</c:v>
                </c:pt>
                <c:pt idx="3">
                  <c:v>17.2</c:v>
                </c:pt>
                <c:pt idx="4">
                  <c:v>17.399999999999999</c:v>
                </c:pt>
                <c:pt idx="5">
                  <c:v>17.8</c:v>
                </c:pt>
                <c:pt idx="6">
                  <c:v>18.5</c:v>
                </c:pt>
                <c:pt idx="7">
                  <c:v>19</c:v>
                </c:pt>
              </c:numCache>
            </c:numRef>
          </c:xVal>
          <c:yVal>
            <c:numRef>
              <c:f>'Scenario Analysis'!$B$11:$B$18</c:f>
              <c:numCache>
                <c:formatCode>"$"#,##0.00</c:formatCode>
                <c:ptCount val="8"/>
                <c:pt idx="0">
                  <c:v>1639999.9999999998</c:v>
                </c:pt>
                <c:pt idx="1">
                  <c:v>1680000</c:v>
                </c:pt>
                <c:pt idx="2">
                  <c:v>1700000</c:v>
                </c:pt>
                <c:pt idx="3">
                  <c:v>1720000</c:v>
                </c:pt>
                <c:pt idx="4">
                  <c:v>1739999.9999999998</c:v>
                </c:pt>
                <c:pt idx="5">
                  <c:v>1780000</c:v>
                </c:pt>
                <c:pt idx="6">
                  <c:v>1850000</c:v>
                </c:pt>
                <c:pt idx="7">
                  <c:v>1900000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48-FF4F-86D8-3A6BC793471E}"/>
            </c:ext>
          </c:extLst>
        </c:ser>
        <c:ser>
          <c:idx val="1"/>
          <c:order val="1"/>
          <c:tx>
            <c:strRef>
              <c:f>'Scenario Analysis'!$C$10</c:f>
              <c:strCache>
                <c:ptCount val="1"/>
                <c:pt idx="0">
                  <c:v>Hedged MXN Cost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'Scenario Analysis'!$A$11:$A$18</c:f>
              <c:numCache>
                <c:formatCode>"$"#,##0.00</c:formatCode>
                <c:ptCount val="8"/>
                <c:pt idx="0">
                  <c:v>16.399999999999999</c:v>
                </c:pt>
                <c:pt idx="1">
                  <c:v>16.8</c:v>
                </c:pt>
                <c:pt idx="2">
                  <c:v>17</c:v>
                </c:pt>
                <c:pt idx="3">
                  <c:v>17.2</c:v>
                </c:pt>
                <c:pt idx="4">
                  <c:v>17.399999999999999</c:v>
                </c:pt>
                <c:pt idx="5">
                  <c:v>17.8</c:v>
                </c:pt>
                <c:pt idx="6">
                  <c:v>18.5</c:v>
                </c:pt>
                <c:pt idx="7">
                  <c:v>19</c:v>
                </c:pt>
              </c:numCache>
            </c:numRef>
          </c:xVal>
          <c:yVal>
            <c:numRef>
              <c:f>'Scenario Analysis'!$C$11:$C$18</c:f>
              <c:numCache>
                <c:formatCode>"$"#,##0.00</c:formatCode>
                <c:ptCount val="8"/>
                <c:pt idx="0">
                  <c:v>1742282.5416409622</c:v>
                </c:pt>
                <c:pt idx="1">
                  <c:v>1742282.5416409622</c:v>
                </c:pt>
                <c:pt idx="2">
                  <c:v>1742282.5416409622</c:v>
                </c:pt>
                <c:pt idx="3">
                  <c:v>1742282.5416409622</c:v>
                </c:pt>
                <c:pt idx="4">
                  <c:v>1742282.5416409622</c:v>
                </c:pt>
                <c:pt idx="5">
                  <c:v>1742282.5416409622</c:v>
                </c:pt>
                <c:pt idx="6">
                  <c:v>1742282.5416409622</c:v>
                </c:pt>
                <c:pt idx="7">
                  <c:v>1742282.5416409622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48-FF4F-86D8-3A6BC7934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171520"/>
        <c:axId val="66799359"/>
      </c:scatterChart>
      <c:valAx>
        <c:axId val="214117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b="1"/>
                  <a:t>Spot USD/MXN at Maturity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799359"/>
        <c:crosses val="autoZero"/>
        <c:crossBetween val="midCat"/>
      </c:valAx>
      <c:valAx>
        <c:axId val="667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b="1"/>
                  <a:t>MXN Cost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41171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425466</xdr:colOff>
      <xdr:row>9</xdr:row>
      <xdr:rowOff>4054</xdr:rowOff>
    </xdr:from>
    <xdr:to>
      <xdr:col>6</xdr:col>
      <xdr:colOff>27214</xdr:colOff>
      <xdr:row>24</xdr:row>
      <xdr:rowOff>189256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362205-AA53-9A39-8217-29D41345F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F9BC-368E-BF46-A7DD-A11856CAD322}">
  <dimension ref="A1:C14"/>
  <sheetViews>
    <sheetView tabSelected="1" zoomScale="190" zoomScaleNormal="190" workbookViewId="0">
      <selection activeCell="F10" sqref="F10"/>
    </sheetView>
  </sheetViews>
  <sheetFormatPr baseColWidth="10" defaultRowHeight="16" x14ac:dyDescent="0.2"/>
  <cols>
    <col min="1" max="1" width="22.6640625" bestFit="1" customWidth="1"/>
    <col min="2" max="2" width="11.5" bestFit="1" customWidth="1"/>
  </cols>
  <sheetData>
    <row r="1" spans="1:3" ht="22" x14ac:dyDescent="0.2">
      <c r="A1" s="16" t="s">
        <v>0</v>
      </c>
      <c r="B1" s="16"/>
      <c r="C1" s="16"/>
    </row>
    <row r="2" spans="1:3" ht="17" thickBot="1" x14ac:dyDescent="0.25"/>
    <row r="3" spans="1:3" x14ac:dyDescent="0.2">
      <c r="A3" s="4" t="s">
        <v>1</v>
      </c>
      <c r="B3" s="5" t="s">
        <v>2</v>
      </c>
    </row>
    <row r="4" spans="1:3" x14ac:dyDescent="0.2">
      <c r="A4" s="1" t="s">
        <v>3</v>
      </c>
      <c r="B4" s="12">
        <v>17.2</v>
      </c>
    </row>
    <row r="5" spans="1:3" x14ac:dyDescent="0.2">
      <c r="A5" s="1" t="s">
        <v>4</v>
      </c>
      <c r="B5" s="6">
        <v>0.105</v>
      </c>
    </row>
    <row r="6" spans="1:3" x14ac:dyDescent="0.2">
      <c r="A6" s="1" t="s">
        <v>5</v>
      </c>
      <c r="B6" s="6">
        <v>5.2499999999999998E-2</v>
      </c>
    </row>
    <row r="7" spans="1:3" x14ac:dyDescent="0.2">
      <c r="A7" s="1" t="s">
        <v>6</v>
      </c>
      <c r="B7" s="2">
        <v>3</v>
      </c>
    </row>
    <row r="8" spans="1:3" x14ac:dyDescent="0.2">
      <c r="A8" s="1" t="s">
        <v>7</v>
      </c>
      <c r="B8" s="2">
        <f>B7/12</f>
        <v>0.25</v>
      </c>
    </row>
    <row r="9" spans="1:3" ht="17" thickBot="1" x14ac:dyDescent="0.25">
      <c r="A9" s="3" t="s">
        <v>8</v>
      </c>
      <c r="B9" s="13">
        <v>100000</v>
      </c>
    </row>
    <row r="10" spans="1:3" ht="17" thickBot="1" x14ac:dyDescent="0.25"/>
    <row r="11" spans="1:3" x14ac:dyDescent="0.2">
      <c r="A11" s="7" t="s">
        <v>9</v>
      </c>
      <c r="B11" s="44">
        <v>16.8</v>
      </c>
    </row>
    <row r="12" spans="1:3" x14ac:dyDescent="0.2">
      <c r="A12" s="8" t="s">
        <v>10</v>
      </c>
      <c r="B12" s="45">
        <v>17.2</v>
      </c>
    </row>
    <row r="13" spans="1:3" x14ac:dyDescent="0.2">
      <c r="A13" s="8" t="s">
        <v>11</v>
      </c>
      <c r="B13" s="45">
        <v>17.8</v>
      </c>
    </row>
    <row r="14" spans="1:3" ht="17" thickBot="1" x14ac:dyDescent="0.25">
      <c r="A14" s="9" t="s">
        <v>12</v>
      </c>
      <c r="B14" s="46">
        <v>18.5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F903-D210-6E48-8B2D-56A80A3C9A21}">
  <dimension ref="A1:H20"/>
  <sheetViews>
    <sheetView zoomScale="160" zoomScaleNormal="160" workbookViewId="0">
      <selection activeCell="B8" sqref="B8"/>
    </sheetView>
  </sheetViews>
  <sheetFormatPr baseColWidth="10" defaultRowHeight="16" x14ac:dyDescent="0.2"/>
  <cols>
    <col min="1" max="1" width="17.5" bestFit="1" customWidth="1"/>
    <col min="2" max="2" width="12.83203125" customWidth="1"/>
  </cols>
  <sheetData>
    <row r="1" spans="1:8" ht="22" x14ac:dyDescent="0.2">
      <c r="A1" s="16" t="s">
        <v>13</v>
      </c>
      <c r="B1" s="16"/>
      <c r="C1" s="16"/>
    </row>
    <row r="2" spans="1:8" ht="17" thickBot="1" x14ac:dyDescent="0.25"/>
    <row r="3" spans="1:8" x14ac:dyDescent="0.2">
      <c r="A3" s="4" t="s">
        <v>14</v>
      </c>
      <c r="B3" s="5" t="s">
        <v>2</v>
      </c>
      <c r="D3" s="17" t="s">
        <v>31</v>
      </c>
      <c r="E3" s="18"/>
      <c r="F3" s="18"/>
      <c r="G3" s="18"/>
      <c r="H3" s="19"/>
    </row>
    <row r="4" spans="1:8" x14ac:dyDescent="0.2">
      <c r="A4" s="1" t="s">
        <v>3</v>
      </c>
      <c r="B4" s="12">
        <f>Inputs!B4</f>
        <v>17.2</v>
      </c>
      <c r="D4" s="20" t="s">
        <v>32</v>
      </c>
      <c r="E4" s="30"/>
      <c r="F4" s="30"/>
      <c r="G4" s="30"/>
      <c r="H4" s="21"/>
    </row>
    <row r="5" spans="1:8" ht="17" thickBot="1" x14ac:dyDescent="0.25">
      <c r="A5" s="1" t="s">
        <v>15</v>
      </c>
      <c r="B5" s="6">
        <f>Inputs!B5</f>
        <v>0.105</v>
      </c>
      <c r="D5" s="22"/>
      <c r="E5" s="23"/>
      <c r="F5" s="23"/>
      <c r="G5" s="23"/>
      <c r="H5" s="24"/>
    </row>
    <row r="6" spans="1:8" x14ac:dyDescent="0.2">
      <c r="A6" s="1" t="s">
        <v>16</v>
      </c>
      <c r="B6" s="6">
        <f>Inputs!B6</f>
        <v>5.2499999999999998E-2</v>
      </c>
    </row>
    <row r="7" spans="1:8" x14ac:dyDescent="0.2">
      <c r="A7" s="1" t="s">
        <v>17</v>
      </c>
      <c r="B7" s="2">
        <f>Inputs!B8</f>
        <v>0.25</v>
      </c>
    </row>
    <row r="8" spans="1:8" x14ac:dyDescent="0.2">
      <c r="A8" s="1" t="s">
        <v>18</v>
      </c>
      <c r="B8" s="43">
        <f>B4*((1+B5*B7)/(1+B6*B7))</f>
        <v>17.422825416409623</v>
      </c>
    </row>
    <row r="9" spans="1:8" x14ac:dyDescent="0.2">
      <c r="A9" s="1" t="s">
        <v>19</v>
      </c>
      <c r="B9" s="15">
        <f>B8-B4</f>
        <v>0.2228254164096235</v>
      </c>
    </row>
    <row r="10" spans="1:8" x14ac:dyDescent="0.2">
      <c r="A10" s="1" t="s">
        <v>8</v>
      </c>
      <c r="B10" s="12">
        <f>Inputs!B9</f>
        <v>100000</v>
      </c>
    </row>
    <row r="11" spans="1:8" ht="17" thickBot="1" x14ac:dyDescent="0.25">
      <c r="A11" s="3" t="s">
        <v>20</v>
      </c>
      <c r="B11" s="13">
        <f>B8*B10</f>
        <v>1742282.5416409622</v>
      </c>
    </row>
    <row r="14" spans="1:8" ht="17" thickBot="1" x14ac:dyDescent="0.25"/>
    <row r="15" spans="1:8" x14ac:dyDescent="0.2">
      <c r="A15" s="35" t="s">
        <v>33</v>
      </c>
      <c r="B15" s="39" t="s">
        <v>2</v>
      </c>
      <c r="C15" s="39"/>
      <c r="D15" s="39"/>
      <c r="E15" s="37"/>
    </row>
    <row r="16" spans="1:8" x14ac:dyDescent="0.2">
      <c r="A16" s="8" t="s">
        <v>34</v>
      </c>
      <c r="B16" s="36" t="s">
        <v>35</v>
      </c>
      <c r="C16" s="36"/>
      <c r="D16" s="36"/>
      <c r="E16" s="36"/>
    </row>
    <row r="17" spans="1:5" x14ac:dyDescent="0.2">
      <c r="A17" s="8" t="s">
        <v>36</v>
      </c>
      <c r="B17" s="36" t="s">
        <v>37</v>
      </c>
      <c r="C17" s="36"/>
      <c r="D17" s="36"/>
      <c r="E17" s="36"/>
    </row>
    <row r="18" spans="1:5" x14ac:dyDescent="0.2">
      <c r="A18" s="8" t="s">
        <v>38</v>
      </c>
      <c r="B18" s="36" t="s">
        <v>39</v>
      </c>
      <c r="C18" s="36"/>
      <c r="D18" s="36"/>
      <c r="E18" s="36"/>
    </row>
    <row r="19" spans="1:5" x14ac:dyDescent="0.2">
      <c r="A19" s="8" t="s">
        <v>40</v>
      </c>
      <c r="B19" s="36" t="s">
        <v>41</v>
      </c>
      <c r="C19" s="36"/>
      <c r="D19" s="36"/>
      <c r="E19" s="36"/>
    </row>
    <row r="20" spans="1:5" ht="17" thickBot="1" x14ac:dyDescent="0.25">
      <c r="A20" s="9" t="s">
        <v>42</v>
      </c>
      <c r="B20" s="40" t="s">
        <v>43</v>
      </c>
      <c r="C20" s="40"/>
      <c r="D20" s="40"/>
      <c r="E20" s="38"/>
    </row>
  </sheetData>
  <mergeCells count="9">
    <mergeCell ref="B20:E20"/>
    <mergeCell ref="B16:E16"/>
    <mergeCell ref="B15:E15"/>
    <mergeCell ref="B17:E17"/>
    <mergeCell ref="B18:E18"/>
    <mergeCell ref="B19:E19"/>
    <mergeCell ref="A1:C1"/>
    <mergeCell ref="D3:H3"/>
    <mergeCell ref="D4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6E81-48C4-3A47-A283-3FEE87A5D74A}">
  <dimension ref="A1:F18"/>
  <sheetViews>
    <sheetView zoomScale="140" zoomScaleNormal="140" workbookViewId="0">
      <selection activeCell="J7" sqref="J7"/>
    </sheetView>
  </sheetViews>
  <sheetFormatPr baseColWidth="10" defaultRowHeight="16" x14ac:dyDescent="0.2"/>
  <cols>
    <col min="1" max="1" width="14" bestFit="1" customWidth="1"/>
    <col min="2" max="3" width="17.6640625" bestFit="1" customWidth="1"/>
    <col min="4" max="4" width="15.6640625" bestFit="1" customWidth="1"/>
    <col min="5" max="5" width="27.33203125" bestFit="1" customWidth="1"/>
    <col min="6" max="6" width="39.83203125" bestFit="1" customWidth="1"/>
  </cols>
  <sheetData>
    <row r="1" spans="1:6" ht="22" x14ac:dyDescent="0.2">
      <c r="A1" s="16" t="s">
        <v>21</v>
      </c>
      <c r="B1" s="16"/>
      <c r="C1" s="16"/>
    </row>
    <row r="2" spans="1:6" ht="17" thickBot="1" x14ac:dyDescent="0.25"/>
    <row r="3" spans="1:6" x14ac:dyDescent="0.2">
      <c r="A3" s="31" t="s">
        <v>22</v>
      </c>
      <c r="B3" s="32" t="s">
        <v>23</v>
      </c>
      <c r="C3" s="32" t="s">
        <v>24</v>
      </c>
      <c r="D3" s="32" t="s">
        <v>20</v>
      </c>
      <c r="E3" s="32" t="s">
        <v>25</v>
      </c>
      <c r="F3" s="33" t="s">
        <v>26</v>
      </c>
    </row>
    <row r="4" spans="1:6" x14ac:dyDescent="0.2">
      <c r="A4" s="1" t="s">
        <v>27</v>
      </c>
      <c r="B4" s="25">
        <f>Inputs!B11</f>
        <v>16.8</v>
      </c>
      <c r="C4" s="26">
        <f>B4*Inputs!$B$9</f>
        <v>1680000</v>
      </c>
      <c r="D4" s="26">
        <f>'Forward Pricing'!B11</f>
        <v>1742282.5416409622</v>
      </c>
      <c r="E4" s="41">
        <f>D4-C4</f>
        <v>62282.541640962241</v>
      </c>
      <c r="F4" s="2" t="str">
        <f>IF(E4&gt;0,"Hedge locked in a higher cost than realized spot","Hedge protected against adverse FX movement")</f>
        <v>Hedge locked in a higher cost than realized spot</v>
      </c>
    </row>
    <row r="5" spans="1:6" x14ac:dyDescent="0.2">
      <c r="A5" s="1" t="s">
        <v>28</v>
      </c>
      <c r="B5" s="25">
        <f>Inputs!B12</f>
        <v>17.2</v>
      </c>
      <c r="C5" s="26">
        <f>B5*Inputs!$B$9</f>
        <v>1720000</v>
      </c>
      <c r="D5" s="26">
        <f>'Forward Pricing'!B11</f>
        <v>1742282.5416409622</v>
      </c>
      <c r="E5" s="41">
        <f>D5-C5</f>
        <v>22282.541640962241</v>
      </c>
      <c r="F5" s="2" t="str">
        <f>IF(E5&gt;0,"Hedge locked in a higher cost than realized spot","Hedge protected against adverse FX movement")</f>
        <v>Hedge locked in a higher cost than realized spot</v>
      </c>
    </row>
    <row r="6" spans="1:6" x14ac:dyDescent="0.2">
      <c r="A6" s="1" t="s">
        <v>29</v>
      </c>
      <c r="B6" s="25">
        <f>Inputs!B13</f>
        <v>17.8</v>
      </c>
      <c r="C6" s="26">
        <f>B6*Inputs!$B$9</f>
        <v>1780000</v>
      </c>
      <c r="D6" s="26">
        <f>'Forward Pricing'!B11</f>
        <v>1742282.5416409622</v>
      </c>
      <c r="E6" s="41">
        <f>D6-C6</f>
        <v>-37717.458359037759</v>
      </c>
      <c r="F6" s="2" t="str">
        <f>IF(E6&gt;0,"Hedge locked in a higher cost than realized spot","Hedge protected against adverse FX movement")</f>
        <v>Hedge protected against adverse FX movement</v>
      </c>
    </row>
    <row r="7" spans="1:6" ht="17" thickBot="1" x14ac:dyDescent="0.25">
      <c r="A7" s="3" t="s">
        <v>30</v>
      </c>
      <c r="B7" s="10">
        <f>Inputs!B14</f>
        <v>18.5</v>
      </c>
      <c r="C7" s="11">
        <f>B7*Inputs!$B$9</f>
        <v>1850000</v>
      </c>
      <c r="D7" s="11">
        <f>'Forward Pricing'!B11</f>
        <v>1742282.5416409622</v>
      </c>
      <c r="E7" s="42">
        <f>D7-C7</f>
        <v>-107717.45835903776</v>
      </c>
      <c r="F7" s="27" t="str">
        <f>IF(E7&gt;0,"Hedge locked in a higher cost than realized spot","Hedge protected against adverse FX movement")</f>
        <v>Hedge protected against adverse FX movement</v>
      </c>
    </row>
    <row r="9" spans="1:6" ht="17" thickBot="1" x14ac:dyDescent="0.25"/>
    <row r="10" spans="1:6" x14ac:dyDescent="0.2">
      <c r="A10" s="4" t="s">
        <v>23</v>
      </c>
      <c r="B10" s="34" t="s">
        <v>24</v>
      </c>
      <c r="C10" s="5" t="s">
        <v>20</v>
      </c>
    </row>
    <row r="11" spans="1:6" x14ac:dyDescent="0.2">
      <c r="A11" s="28">
        <v>16.399999999999999</v>
      </c>
      <c r="B11" s="25">
        <f>A11*Inputs!$B$9</f>
        <v>1639999.9999999998</v>
      </c>
      <c r="C11" s="12">
        <f>'Forward Pricing'!$B$11</f>
        <v>1742282.5416409622</v>
      </c>
    </row>
    <row r="12" spans="1:6" x14ac:dyDescent="0.2">
      <c r="A12" s="28">
        <v>16.8</v>
      </c>
      <c r="B12" s="25">
        <f>A12*Inputs!$B$9</f>
        <v>1680000</v>
      </c>
      <c r="C12" s="12">
        <f>'Forward Pricing'!$B$11</f>
        <v>1742282.5416409622</v>
      </c>
    </row>
    <row r="13" spans="1:6" x14ac:dyDescent="0.2">
      <c r="A13" s="28">
        <v>17</v>
      </c>
      <c r="B13" s="25">
        <f>A13*Inputs!$B$9</f>
        <v>1700000</v>
      </c>
      <c r="C13" s="12">
        <f>'Forward Pricing'!$B$11</f>
        <v>1742282.5416409622</v>
      </c>
    </row>
    <row r="14" spans="1:6" x14ac:dyDescent="0.2">
      <c r="A14" s="28">
        <v>17.2</v>
      </c>
      <c r="B14" s="25">
        <f>A14*Inputs!$B$9</f>
        <v>1720000</v>
      </c>
      <c r="C14" s="12">
        <f>'Forward Pricing'!$B$11</f>
        <v>1742282.5416409622</v>
      </c>
    </row>
    <row r="15" spans="1:6" x14ac:dyDescent="0.2">
      <c r="A15" s="28">
        <v>17.399999999999999</v>
      </c>
      <c r="B15" s="25">
        <f>A15*Inputs!$B$9</f>
        <v>1739999.9999999998</v>
      </c>
      <c r="C15" s="12">
        <f>'Forward Pricing'!$B$11</f>
        <v>1742282.5416409622</v>
      </c>
    </row>
    <row r="16" spans="1:6" x14ac:dyDescent="0.2">
      <c r="A16" s="28">
        <v>17.8</v>
      </c>
      <c r="B16" s="25">
        <f>A16*Inputs!$B$9</f>
        <v>1780000</v>
      </c>
      <c r="C16" s="12">
        <f>'Forward Pricing'!$B$11</f>
        <v>1742282.5416409622</v>
      </c>
    </row>
    <row r="17" spans="1:3" x14ac:dyDescent="0.2">
      <c r="A17" s="28">
        <v>18.5</v>
      </c>
      <c r="B17" s="25">
        <f>A17*Inputs!$B$9</f>
        <v>1850000</v>
      </c>
      <c r="C17" s="12">
        <f>'Forward Pricing'!$B$11</f>
        <v>1742282.5416409622</v>
      </c>
    </row>
    <row r="18" spans="1:3" ht="17" thickBot="1" x14ac:dyDescent="0.25">
      <c r="A18" s="29">
        <v>19</v>
      </c>
      <c r="B18" s="10">
        <f>A18*Inputs!$B$9</f>
        <v>1900000</v>
      </c>
      <c r="C18" s="14">
        <f>'Forward Pricing'!$B$11</f>
        <v>1742282.5416409622</v>
      </c>
    </row>
  </sheetData>
  <mergeCells count="1">
    <mergeCell ref="A1:C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Inputs</vt:lpstr>
      <vt:lpstr>Forward Pricing</vt:lpstr>
      <vt:lpstr>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RAZO ALCANTARA</dc:creator>
  <cp:lastModifiedBy>MANUEL RAZO ALCANTARA</cp:lastModifiedBy>
  <dcterms:created xsi:type="dcterms:W3CDTF">2026-03-13T01:22:48Z</dcterms:created>
  <dcterms:modified xsi:type="dcterms:W3CDTF">2026-03-13T04:33:39Z</dcterms:modified>
</cp:coreProperties>
</file>