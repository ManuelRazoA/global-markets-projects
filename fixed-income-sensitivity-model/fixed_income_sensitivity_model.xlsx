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SD Externo Manuel/manuelrazo/Documents/Manuel Razo/Proyectos Varios/"/>
    </mc:Choice>
  </mc:AlternateContent>
  <xr:revisionPtr revIDLastSave="0" documentId="13_ncr:1_{2167F169-CB5E-F544-B1B2-B808FB8037C6}" xr6:coauthVersionLast="47" xr6:coauthVersionMax="47" xr10:uidLastSave="{00000000-0000-0000-0000-000000000000}"/>
  <bookViews>
    <workbookView xWindow="0" yWindow="0" windowWidth="60160" windowHeight="16920" activeTab="2" xr2:uid="{F6948038-A225-354C-B8C2-6AA61FAEFFA0}"/>
  </bookViews>
  <sheets>
    <sheet name="Inputs" sheetId="1" r:id="rId1"/>
    <sheet name="Bond Pricing" sheetId="2" r:id="rId2"/>
    <sheet name="Sensitivity" sheetId="3" r:id="rId3"/>
  </sheets>
  <definedNames>
    <definedName name="_xlchart.v1.0" hidden="1">Sensitivity!$A$19:$A$77</definedName>
    <definedName name="_xlchart.v1.1" hidden="1">Sensitivity!$B$19:$B$77</definedName>
    <definedName name="_xlchart.v1.2" hidden="1">Sensitivity!$A$19:$A$77</definedName>
    <definedName name="_xlchart.v1.3" hidden="1">Sensitivity!$B$19:$B$77</definedName>
    <definedName name="_xlchart.v1.4" hidden="1">Sensitivity!$A$19:$A$77</definedName>
    <definedName name="_xlchart.v1.5" hidden="1">Sensitivity!$B$19:$B$77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 a="1"/>
  <c r="B28" i="3" s="1"/>
  <c r="B27" i="3" a="1"/>
  <c r="B27" i="3" s="1"/>
  <c r="B26" i="3" a="1"/>
  <c r="B26" i="3" s="1"/>
  <c r="B25" i="3" a="1"/>
  <c r="B25" i="3" s="1"/>
  <c r="B24" i="3" a="1"/>
  <c r="B24" i="3" s="1"/>
  <c r="B23" i="3" a="1"/>
  <c r="B23" i="3" s="1"/>
  <c r="B22" i="3" a="1"/>
  <c r="B22" i="3" s="1"/>
  <c r="B21" i="3" a="1"/>
  <c r="B21" i="3" s="1"/>
  <c r="B20" i="3" a="1"/>
  <c r="B20" i="3" s="1"/>
  <c r="B19" i="3" a="1"/>
  <c r="B19" i="3" s="1"/>
  <c r="J12" i="3"/>
  <c r="J13" i="3"/>
  <c r="J11" i="3"/>
  <c r="I12" i="3"/>
  <c r="I13" i="3"/>
  <c r="I11" i="3"/>
  <c r="H12" i="3"/>
  <c r="H13" i="3"/>
  <c r="H11" i="3"/>
  <c r="G12" i="3" a="1"/>
  <c r="G12" i="3" s="1"/>
  <c r="G13" i="3" a="1"/>
  <c r="G13" i="3" s="1"/>
  <c r="G11" i="3" a="1"/>
  <c r="G11" i="3" s="1"/>
  <c r="C13" i="3"/>
  <c r="D13" i="3" s="1"/>
  <c r="C12" i="3"/>
  <c r="D12" i="3" s="1"/>
  <c r="C11" i="3"/>
  <c r="D11" i="3" s="1"/>
  <c r="G14" i="2"/>
  <c r="A4" i="2"/>
  <c r="A3" i="2"/>
  <c r="B13" i="3"/>
  <c r="B12" i="3"/>
  <c r="B11" i="3"/>
  <c r="J2" i="2"/>
  <c r="H2" i="2"/>
  <c r="G2" i="2"/>
  <c r="B3" i="2"/>
  <c r="C3" i="2"/>
  <c r="D3" i="2"/>
  <c r="E3" i="2" s="1"/>
  <c r="F3" i="2"/>
  <c r="B4" i="2"/>
  <c r="C4" i="2"/>
  <c r="D4" i="2"/>
  <c r="E4" i="2" s="1"/>
  <c r="G4" i="2" s="1"/>
  <c r="F4" i="2"/>
  <c r="C5" i="2"/>
  <c r="C6" i="2"/>
  <c r="C7" i="2"/>
  <c r="C8" i="2"/>
  <c r="C9" i="2"/>
  <c r="C10" i="2"/>
  <c r="C11" i="2"/>
  <c r="I2" i="2"/>
  <c r="F2" i="2"/>
  <c r="E2" i="2"/>
  <c r="D2" i="2"/>
  <c r="C2" i="2"/>
  <c r="B2" i="2"/>
  <c r="B16" i="1"/>
  <c r="B15" i="1"/>
  <c r="B14" i="1"/>
  <c r="A5" i="2" l="1"/>
  <c r="J4" i="2"/>
  <c r="H4" i="2"/>
  <c r="G3" i="2"/>
  <c r="J3" i="2"/>
  <c r="I4" i="2"/>
  <c r="A6" i="2" l="1"/>
  <c r="F5" i="2"/>
  <c r="D5" i="2"/>
  <c r="E5" i="2" s="1"/>
  <c r="B5" i="2"/>
  <c r="H5" i="2" s="1"/>
  <c r="H3" i="2"/>
  <c r="I3" i="2"/>
  <c r="A7" i="2" l="1"/>
  <c r="F6" i="2"/>
  <c r="D6" i="2"/>
  <c r="E6" i="2" s="1"/>
  <c r="B6" i="2"/>
  <c r="G5" i="2"/>
  <c r="I5" i="2" s="1"/>
  <c r="J5" i="2"/>
  <c r="A8" i="2" l="1"/>
  <c r="F7" i="2"/>
  <c r="D7" i="2"/>
  <c r="E7" i="2" s="1"/>
  <c r="B7" i="2"/>
  <c r="G6" i="2"/>
  <c r="J6" i="2"/>
  <c r="A9" i="2" l="1"/>
  <c r="F8" i="2"/>
  <c r="D8" i="2"/>
  <c r="E8" i="2" s="1"/>
  <c r="G8" i="2" s="1"/>
  <c r="I8" i="2" s="1"/>
  <c r="B8" i="2"/>
  <c r="H8" i="2" s="1"/>
  <c r="J8" i="2"/>
  <c r="H6" i="2"/>
  <c r="I6" i="2"/>
  <c r="G7" i="2"/>
  <c r="J7" i="2"/>
  <c r="A10" i="2" l="1"/>
  <c r="D9" i="2"/>
  <c r="E9" i="2" s="1"/>
  <c r="F9" i="2"/>
  <c r="B9" i="2"/>
  <c r="H7" i="2"/>
  <c r="I7" i="2"/>
  <c r="I10" i="2" l="1"/>
  <c r="A11" i="2"/>
  <c r="F10" i="2"/>
  <c r="B10" i="2"/>
  <c r="D10" i="2"/>
  <c r="E10" i="2" s="1"/>
  <c r="G9" i="2"/>
  <c r="J9" i="2"/>
  <c r="F11" i="2" l="1"/>
  <c r="B11" i="2"/>
  <c r="D11" i="2"/>
  <c r="E11" i="2" s="1"/>
  <c r="J11" i="2" s="1"/>
  <c r="H9" i="2"/>
  <c r="I9" i="2"/>
  <c r="G10" i="2"/>
  <c r="H10" i="2" s="1"/>
  <c r="J10" i="2"/>
  <c r="G11" i="2" l="1"/>
  <c r="I11" i="2" s="1"/>
  <c r="H11" i="2" l="1"/>
  <c r="G13" i="2"/>
  <c r="G16" i="2" l="1"/>
  <c r="B7" i="3" s="1"/>
  <c r="B4" i="3"/>
  <c r="G15" i="2" l="1"/>
  <c r="B6" i="3" s="1"/>
  <c r="B5" i="3"/>
  <c r="E12" i="3" l="1"/>
  <c r="F12" i="3" s="1"/>
  <c r="E11" i="3"/>
  <c r="F11" i="3" s="1"/>
  <c r="E13" i="3"/>
  <c r="F1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<sst xmlns="http://schemas.openxmlformats.org/spreadsheetml/2006/main" count="52" uniqueCount="48">
  <si>
    <t>Fixed Income Sensitivity Model</t>
  </si>
  <si>
    <t>Input</t>
  </si>
  <si>
    <t>Value</t>
  </si>
  <si>
    <t>Face Value</t>
  </si>
  <si>
    <t>Annual Coupon Rate</t>
  </si>
  <si>
    <t>Years to Maturity</t>
  </si>
  <si>
    <t>Shock 3 (bps)</t>
  </si>
  <si>
    <t>Shock 2 (bps)</t>
  </si>
  <si>
    <t>Payments per Year</t>
  </si>
  <si>
    <t>Annual Yield to Maturity</t>
  </si>
  <si>
    <t>Shock 1 (bps)</t>
  </si>
  <si>
    <t>Derived Item</t>
  </si>
  <si>
    <t>Total Periods</t>
  </si>
  <si>
    <t>Coupon per Period</t>
  </si>
  <si>
    <t>Yield per Period</t>
  </si>
  <si>
    <t>Period</t>
  </si>
  <si>
    <t>Time (Years)</t>
  </si>
  <si>
    <t>Cupon</t>
  </si>
  <si>
    <t>Principal</t>
  </si>
  <si>
    <t>Total Cash Flow</t>
  </si>
  <si>
    <t>Discount Factor</t>
  </si>
  <si>
    <t>Present Value</t>
  </si>
  <si>
    <t>t * PV</t>
  </si>
  <si>
    <t>t(t+1)*PV</t>
  </si>
  <si>
    <t>Bond Price</t>
  </si>
  <si>
    <t>Macaulay Duration</t>
  </si>
  <si>
    <t>Modified Duration</t>
  </si>
  <si>
    <t>Convexity Term</t>
  </si>
  <si>
    <t>Convexity (per period² basis)</t>
  </si>
  <si>
    <t>Bond Sensitivity Summary</t>
  </si>
  <si>
    <t>Metric</t>
  </si>
  <si>
    <t>Base Price</t>
  </si>
  <si>
    <t>Macauley Duration</t>
  </si>
  <si>
    <t>Convexity</t>
  </si>
  <si>
    <t>Scenario</t>
  </si>
  <si>
    <t>Shock (bps)</t>
  </si>
  <si>
    <t>Shock (decimal)</t>
  </si>
  <si>
    <t>New Yield</t>
  </si>
  <si>
    <t>Approx % Price Change</t>
  </si>
  <si>
    <t>Approx Price</t>
  </si>
  <si>
    <t xml:space="preserve"> +50 bps</t>
  </si>
  <si>
    <t xml:space="preserve"> +100 bps</t>
  </si>
  <si>
    <t xml:space="preserve"> -50 bps</t>
  </si>
  <si>
    <t>Exact Price</t>
  </si>
  <si>
    <t>Approx Error</t>
  </si>
  <si>
    <t>Duration-Only % Change</t>
  </si>
  <si>
    <t>Duration-Only Price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</si>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</sst>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&quot;$&quot;#,##0.00"/>
    <numFmt numFmtId="170" formatCode="&quot;$&quot;#,##0.000"/>
    <numFmt numFmtId="177" formatCode="0.000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ont="1"/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9" fontId="0" fillId="0" borderId="0" xfId="0" applyNumberFormat="1"/>
    <xf numFmtId="0" fontId="0" fillId="2" borderId="0" xfId="0" applyFill="1" applyAlignment="1">
      <alignment vertical="center"/>
    </xf>
    <xf numFmtId="170" fontId="0" fillId="0" borderId="0" xfId="0" applyNumberFormat="1"/>
    <xf numFmtId="2" fontId="0" fillId="0" borderId="0" xfId="1" applyNumberFormat="1" applyFont="1"/>
    <xf numFmtId="177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Bond Price vs Yield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Sensitivity!$A$19:$A$28</c:f>
              <c:numCache>
                <c:formatCode>0.00</c:formatCode>
                <c:ptCount val="10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0.15</c:v>
                </c:pt>
              </c:numCache>
            </c:numRef>
          </c:xVal>
          <c:yVal>
            <c:numRef>
              <c:f>Sensitivity!$B$19:$B$28</c:f>
              <c:numCache>
                <c:formatCode>General</c:formatCode>
                <c:ptCount val="10"/>
                <c:pt idx="0">
                  <c:v>1085.3020283677583</c:v>
                </c:pt>
                <c:pt idx="1">
                  <c:v>1041.5830266128905</c:v>
                </c:pt>
                <c:pt idx="2">
                  <c:v>999.99999999999966</c:v>
                </c:pt>
                <c:pt idx="3">
                  <c:v>960.43640911445016</c:v>
                </c:pt>
                <c:pt idx="4">
                  <c:v>922.78265070815178</c:v>
                </c:pt>
                <c:pt idx="5">
                  <c:v>886.93561257116585</c:v>
                </c:pt>
                <c:pt idx="6">
                  <c:v>852.79825897170565</c:v>
                </c:pt>
                <c:pt idx="7">
                  <c:v>820.27924443097288</c:v>
                </c:pt>
                <c:pt idx="8">
                  <c:v>789.29255377202185</c:v>
                </c:pt>
                <c:pt idx="9">
                  <c:v>759.75716654068356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A3-9D40-9D2D-35D97678E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130240"/>
        <c:axId val="1161133376"/>
      </c:scatterChart>
      <c:valAx>
        <c:axId val="116113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50" b="1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1133376"/>
        <c:crosses val="autoZero"/>
        <c:crossBetween val="midCat"/>
      </c:valAx>
      <c:valAx>
        <c:axId val="116113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50" b="1" i="0" u="none" strike="noStrike">
                    <a:effectLst/>
                  </a:rPr>
                  <a:t>Bond Price</a:t>
                </a:r>
                <a:r>
                  <a:rPr lang="es-MX" sz="1050">
                    <a:effectLst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113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668724</xdr:colOff>
      <xdr:row>16</xdr:row>
      <xdr:rowOff>194281</xdr:rowOff>
    </xdr:from>
    <xdr:to>
      <xdr:col>8</xdr:col>
      <xdr:colOff>870858</xdr:colOff>
      <xdr:row>29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9007B2-CD45-C506-0B09-4B803F450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1582-1A85-6546-A154-DC7C79447F13}">
  <dimension ref="A1:C16"/>
  <sheetViews>
    <sheetView zoomScale="180" zoomScaleNormal="180" workbookViewId="0">
      <selection activeCell="I14" sqref="I14"/>
    </sheetView>
  </sheetViews>
  <sheetFormatPr baseColWidth="10" defaultRowHeight="16" x14ac:dyDescent="0.2"/>
  <cols>
    <col min="1" max="1" width="27.5" bestFit="1" customWidth="1"/>
  </cols>
  <sheetData>
    <row r="1" spans="1:3" ht="22" x14ac:dyDescent="0.2">
      <c r="A1" s="2" t="s">
        <v>0</v>
      </c>
      <c r="B1" s="2"/>
      <c r="C1" s="2"/>
    </row>
    <row r="3" spans="1:3" x14ac:dyDescent="0.2">
      <c r="A3" s="3" t="s">
        <v>1</v>
      </c>
      <c r="B3" s="3" t="s">
        <v>2</v>
      </c>
    </row>
    <row r="4" spans="1:3" x14ac:dyDescent="0.2">
      <c r="A4" s="1" t="s">
        <v>3</v>
      </c>
      <c r="B4">
        <v>1000</v>
      </c>
    </row>
    <row r="5" spans="1:3" x14ac:dyDescent="0.2">
      <c r="A5" s="1" t="s">
        <v>4</v>
      </c>
      <c r="B5">
        <v>0.08</v>
      </c>
    </row>
    <row r="6" spans="1:3" x14ac:dyDescent="0.2">
      <c r="A6" s="1" t="s">
        <v>5</v>
      </c>
      <c r="B6">
        <v>5</v>
      </c>
    </row>
    <row r="7" spans="1:3" x14ac:dyDescent="0.2">
      <c r="A7" s="1" t="s">
        <v>8</v>
      </c>
      <c r="B7">
        <v>2</v>
      </c>
    </row>
    <row r="8" spans="1:3" x14ac:dyDescent="0.2">
      <c r="A8" s="1" t="s">
        <v>9</v>
      </c>
      <c r="B8">
        <v>0.1</v>
      </c>
    </row>
    <row r="9" spans="1:3" x14ac:dyDescent="0.2">
      <c r="A9" s="1" t="s">
        <v>10</v>
      </c>
      <c r="B9">
        <v>50</v>
      </c>
    </row>
    <row r="10" spans="1:3" x14ac:dyDescent="0.2">
      <c r="A10" s="1" t="s">
        <v>7</v>
      </c>
      <c r="B10">
        <v>100</v>
      </c>
    </row>
    <row r="11" spans="1:3" x14ac:dyDescent="0.2">
      <c r="A11" s="1" t="s">
        <v>6</v>
      </c>
      <c r="B11">
        <v>-50</v>
      </c>
    </row>
    <row r="13" spans="1:3" x14ac:dyDescent="0.2">
      <c r="A13" s="3" t="s">
        <v>11</v>
      </c>
      <c r="B13" s="3" t="s">
        <v>2</v>
      </c>
    </row>
    <row r="14" spans="1:3" x14ac:dyDescent="0.2">
      <c r="A14" t="s">
        <v>12</v>
      </c>
      <c r="B14">
        <f>B6*B7</f>
        <v>10</v>
      </c>
    </row>
    <row r="15" spans="1:3" x14ac:dyDescent="0.2">
      <c r="A15" t="s">
        <v>13</v>
      </c>
      <c r="B15">
        <f>B4*B5/B7</f>
        <v>40</v>
      </c>
    </row>
    <row r="16" spans="1:3" x14ac:dyDescent="0.2">
      <c r="A16" t="s">
        <v>14</v>
      </c>
      <c r="B16">
        <f>B8/B7</f>
        <v>0.05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CFF0-0CAE-BB45-9175-65846DCA47FE}">
  <dimension ref="A1:J16"/>
  <sheetViews>
    <sheetView zoomScale="170" zoomScaleNormal="170" workbookViewId="0">
      <selection activeCell="K15" sqref="K15"/>
    </sheetView>
  </sheetViews>
  <sheetFormatPr baseColWidth="10" defaultRowHeight="16" x14ac:dyDescent="0.2"/>
  <cols>
    <col min="1" max="1" width="6.5" bestFit="1" customWidth="1"/>
    <col min="2" max="2" width="11.5" bestFit="1" customWidth="1"/>
    <col min="3" max="3" width="6.6640625" bestFit="1" customWidth="1"/>
    <col min="4" max="4" width="9.1640625" bestFit="1" customWidth="1"/>
    <col min="5" max="5" width="14" bestFit="1" customWidth="1"/>
    <col min="6" max="6" width="24.1640625" bestFit="1" customWidth="1"/>
    <col min="7" max="7" width="12.6640625" bestFit="1" customWidth="1"/>
    <col min="8" max="8" width="11.6640625" bestFit="1" customWidth="1"/>
    <col min="9" max="9" width="12.6640625" bestFit="1" customWidth="1"/>
    <col min="10" max="10" width="13.6640625" bestFit="1" customWidth="1"/>
  </cols>
  <sheetData>
    <row r="1" spans="1:10" x14ac:dyDescent="0.2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27</v>
      </c>
    </row>
    <row r="2" spans="1:10" x14ac:dyDescent="0.2">
      <c r="A2">
        <v>1</v>
      </c>
      <c r="B2">
        <f>+A2/Inputs!$B$7</f>
        <v>0.5</v>
      </c>
      <c r="C2" s="4">
        <f>+Inputs!$B$15</f>
        <v>40</v>
      </c>
      <c r="D2" s="4">
        <f>+IF(A2=Inputs!$B$14,Inputs!$B$4,0)</f>
        <v>0</v>
      </c>
      <c r="E2" s="4">
        <f>+C2+D2</f>
        <v>40</v>
      </c>
      <c r="F2" s="8">
        <f>1/(1+Inputs!$B$16)^A2</f>
        <v>0.95238095238095233</v>
      </c>
      <c r="G2" s="4">
        <f>+E2*F2</f>
        <v>38.095238095238095</v>
      </c>
      <c r="H2" s="8">
        <f>+B2*G2</f>
        <v>19.047619047619047</v>
      </c>
      <c r="I2" s="8">
        <f>+A2*(A2+1)*G2</f>
        <v>76.19047619047619</v>
      </c>
      <c r="J2" s="8">
        <f>A2*(A2+1)*E2/((1+Inputs!$B$16)^(A2+2))</f>
        <v>69.107007882518076</v>
      </c>
    </row>
    <row r="3" spans="1:10" x14ac:dyDescent="0.2">
      <c r="A3">
        <f>A2+1</f>
        <v>2</v>
      </c>
      <c r="B3">
        <f>+A3/Inputs!$B$7</f>
        <v>1</v>
      </c>
      <c r="C3" s="4">
        <f>+Inputs!$B$15</f>
        <v>40</v>
      </c>
      <c r="D3" s="4">
        <f>+IF(A3=Inputs!$B$14,Inputs!$B$4,0)</f>
        <v>0</v>
      </c>
      <c r="E3" s="4">
        <f t="shared" ref="E3:E11" si="0">+C3+D3</f>
        <v>40</v>
      </c>
      <c r="F3" s="8">
        <f>1/(1+Inputs!$B$16)^A3</f>
        <v>0.90702947845804982</v>
      </c>
      <c r="G3" s="4">
        <f>+E3*F3</f>
        <v>36.281179138321995</v>
      </c>
      <c r="H3" s="8">
        <f>+B3*G3</f>
        <v>36.281179138321995</v>
      </c>
      <c r="I3" s="8">
        <f t="shared" ref="I3:I11" si="1">+A3*(A3+1)*G3</f>
        <v>217.68707482993199</v>
      </c>
      <c r="J3" s="8">
        <f>A3*(A3+1)*E3/((1+Inputs!$B$16)^(A3+2))</f>
        <v>197.44859395005167</v>
      </c>
    </row>
    <row r="4" spans="1:10" x14ac:dyDescent="0.2">
      <c r="A4">
        <f t="shared" ref="A4:A11" si="2">A3+1</f>
        <v>3</v>
      </c>
      <c r="B4">
        <f>+A4/Inputs!$B$7</f>
        <v>1.5</v>
      </c>
      <c r="C4" s="4">
        <f>+Inputs!$B$15</f>
        <v>40</v>
      </c>
      <c r="D4" s="4">
        <f>+IF(A4=Inputs!$B$14,Inputs!$B$4,0)</f>
        <v>0</v>
      </c>
      <c r="E4" s="4">
        <f t="shared" si="0"/>
        <v>40</v>
      </c>
      <c r="F4" s="8">
        <f>1/(1+Inputs!$B$16)^A4</f>
        <v>0.86383759853147601</v>
      </c>
      <c r="G4" s="4">
        <f t="shared" ref="G3:G11" si="3">+E4*F4</f>
        <v>34.553503941259038</v>
      </c>
      <c r="H4" s="8">
        <f>+B4*G4</f>
        <v>51.830255911888557</v>
      </c>
      <c r="I4" s="8">
        <f t="shared" si="1"/>
        <v>414.64204729510845</v>
      </c>
      <c r="J4" s="8">
        <f>A4*(A4+1)*E4/((1+Inputs!$B$16)^(A4+2))</f>
        <v>376.09255990486031</v>
      </c>
    </row>
    <row r="5" spans="1:10" x14ac:dyDescent="0.2">
      <c r="A5">
        <f t="shared" si="2"/>
        <v>4</v>
      </c>
      <c r="B5">
        <f>+A5/Inputs!$B$7</f>
        <v>2</v>
      </c>
      <c r="C5" s="4">
        <f>+Inputs!$B$15</f>
        <v>40</v>
      </c>
      <c r="D5" s="4">
        <f>+IF(A5=Inputs!$B$14,Inputs!$B$4,0)</f>
        <v>0</v>
      </c>
      <c r="E5" s="4">
        <f t="shared" si="0"/>
        <v>40</v>
      </c>
      <c r="F5" s="8">
        <f>1/(1+Inputs!$B$16)^A5</f>
        <v>0.82270247479188197</v>
      </c>
      <c r="G5" s="4">
        <f t="shared" si="3"/>
        <v>32.908098991675281</v>
      </c>
      <c r="H5" s="8">
        <f>+B5*G5</f>
        <v>65.816197983350563</v>
      </c>
      <c r="I5" s="8">
        <f t="shared" si="1"/>
        <v>658.1619798335056</v>
      </c>
      <c r="J5" s="8">
        <f>A5*(A5+1)*E5/((1+Inputs!$B$16)^(A5+2))</f>
        <v>596.97231730930218</v>
      </c>
    </row>
    <row r="6" spans="1:10" x14ac:dyDescent="0.2">
      <c r="A6">
        <f t="shared" si="2"/>
        <v>5</v>
      </c>
      <c r="B6">
        <f>+A6/Inputs!$B$7</f>
        <v>2.5</v>
      </c>
      <c r="C6" s="4">
        <f>+Inputs!$B$15</f>
        <v>40</v>
      </c>
      <c r="D6" s="4">
        <f>+IF(A6=Inputs!$B$14,Inputs!$B$4,0)</f>
        <v>0</v>
      </c>
      <c r="E6" s="4">
        <f t="shared" si="0"/>
        <v>40</v>
      </c>
      <c r="F6" s="8">
        <f>1/(1+Inputs!$B$16)^A6</f>
        <v>0.78352616646845896</v>
      </c>
      <c r="G6" s="4">
        <f t="shared" si="3"/>
        <v>31.341046658738357</v>
      </c>
      <c r="H6" s="8">
        <f t="shared" ref="H3:H11" si="4">+B6*G6</f>
        <v>78.352616646845888</v>
      </c>
      <c r="I6" s="8">
        <f t="shared" si="1"/>
        <v>940.23139976215066</v>
      </c>
      <c r="J6" s="8">
        <f>A6*(A6+1)*E6/((1+Inputs!$B$16)^(A6+2))</f>
        <v>852.81759615614578</v>
      </c>
    </row>
    <row r="7" spans="1:10" x14ac:dyDescent="0.2">
      <c r="A7">
        <f t="shared" si="2"/>
        <v>6</v>
      </c>
      <c r="B7">
        <f>+A7/Inputs!$B$7</f>
        <v>3</v>
      </c>
      <c r="C7" s="4">
        <f>+Inputs!$B$15</f>
        <v>40</v>
      </c>
      <c r="D7" s="4">
        <f>+IF(A7=Inputs!$B$14,Inputs!$B$4,0)</f>
        <v>0</v>
      </c>
      <c r="E7" s="4">
        <f t="shared" si="0"/>
        <v>40</v>
      </c>
      <c r="F7" s="8">
        <f>1/(1+Inputs!$B$16)^A7</f>
        <v>0.74621539663662761</v>
      </c>
      <c r="G7" s="4">
        <f t="shared" si="3"/>
        <v>29.848615865465106</v>
      </c>
      <c r="H7" s="8">
        <f t="shared" si="4"/>
        <v>89.545847596395319</v>
      </c>
      <c r="I7" s="8">
        <f t="shared" si="1"/>
        <v>1253.6418663495344</v>
      </c>
      <c r="J7" s="8">
        <f>A7*(A7+1)*E7/((1+Inputs!$B$16)^(A7+2))</f>
        <v>1137.0901282081945</v>
      </c>
    </row>
    <row r="8" spans="1:10" x14ac:dyDescent="0.2">
      <c r="A8">
        <f t="shared" si="2"/>
        <v>7</v>
      </c>
      <c r="B8">
        <f>+A8/Inputs!$B$7</f>
        <v>3.5</v>
      </c>
      <c r="C8" s="4">
        <f>+Inputs!$B$15</f>
        <v>40</v>
      </c>
      <c r="D8" s="4">
        <f>+IF(A8=Inputs!$B$14,Inputs!$B$4,0)</f>
        <v>0</v>
      </c>
      <c r="E8" s="4">
        <f t="shared" si="0"/>
        <v>40</v>
      </c>
      <c r="F8" s="8">
        <f>1/(1+Inputs!$B$16)^A8</f>
        <v>0.71068133013012147</v>
      </c>
      <c r="G8" s="4">
        <f t="shared" si="3"/>
        <v>28.42725320520486</v>
      </c>
      <c r="H8" s="8">
        <f t="shared" si="4"/>
        <v>99.495386218217007</v>
      </c>
      <c r="I8" s="8">
        <f t="shared" si="1"/>
        <v>1591.9261794914721</v>
      </c>
      <c r="J8" s="8">
        <f>A8*(A8+1)*E8/((1+Inputs!$B$16)^(A8+2))</f>
        <v>1443.9239723278658</v>
      </c>
    </row>
    <row r="9" spans="1:10" x14ac:dyDescent="0.2">
      <c r="A9">
        <f t="shared" si="2"/>
        <v>8</v>
      </c>
      <c r="B9">
        <f>+A9/Inputs!$B$7</f>
        <v>4</v>
      </c>
      <c r="C9" s="4">
        <f>+Inputs!$B$15</f>
        <v>40</v>
      </c>
      <c r="D9" s="4">
        <f>+IF(A9=Inputs!$B$14,Inputs!$B$4,0)</f>
        <v>0</v>
      </c>
      <c r="E9" s="4">
        <f t="shared" si="0"/>
        <v>40</v>
      </c>
      <c r="F9" s="8">
        <f>1/(1+Inputs!$B$16)^A9</f>
        <v>0.67683936202868722</v>
      </c>
      <c r="G9" s="4">
        <f t="shared" si="3"/>
        <v>27.073574481147489</v>
      </c>
      <c r="H9" s="8">
        <f t="shared" si="4"/>
        <v>108.29429792458996</v>
      </c>
      <c r="I9" s="8">
        <f t="shared" si="1"/>
        <v>1949.2973626426192</v>
      </c>
      <c r="J9" s="8">
        <f>A9*(A9+1)*E9/((1+Inputs!$B$16)^(A9+2))</f>
        <v>1768.0701701973869</v>
      </c>
    </row>
    <row r="10" spans="1:10" x14ac:dyDescent="0.2">
      <c r="A10">
        <f t="shared" si="2"/>
        <v>9</v>
      </c>
      <c r="B10">
        <f>+A10/Inputs!$B$7</f>
        <v>4.5</v>
      </c>
      <c r="C10" s="4">
        <f>+Inputs!$B$15</f>
        <v>40</v>
      </c>
      <c r="D10" s="4">
        <f>+IF(A10=Inputs!$B$14,Inputs!$B$4,0)</f>
        <v>0</v>
      </c>
      <c r="E10" s="4">
        <f t="shared" si="0"/>
        <v>40</v>
      </c>
      <c r="F10" s="8">
        <f>1/(1+Inputs!$B$16)^A10</f>
        <v>0.64460891621779726</v>
      </c>
      <c r="G10" s="4">
        <f t="shared" si="3"/>
        <v>25.784356648711892</v>
      </c>
      <c r="H10" s="8">
        <f>+B10*G10</f>
        <v>116.02960491920351</v>
      </c>
      <c r="I10" s="8">
        <f t="shared" si="1"/>
        <v>2320.5920983840701</v>
      </c>
      <c r="J10" s="8">
        <f>A10*(A10+1)*E10/((1+Inputs!$B$16)^(A10+2))</f>
        <v>2104.8454407111744</v>
      </c>
    </row>
    <row r="11" spans="1:10" x14ac:dyDescent="0.2">
      <c r="A11">
        <f t="shared" si="2"/>
        <v>10</v>
      </c>
      <c r="B11">
        <f>+A11/Inputs!$B$7</f>
        <v>5</v>
      </c>
      <c r="C11" s="4">
        <f>+Inputs!$B$15</f>
        <v>40</v>
      </c>
      <c r="D11" s="4">
        <f>+IF(A11=Inputs!$B$14,Inputs!$B$4,0)</f>
        <v>1000</v>
      </c>
      <c r="E11" s="4">
        <f t="shared" si="0"/>
        <v>1040</v>
      </c>
      <c r="F11" s="8">
        <f>1/(1+Inputs!$B$16)^A11</f>
        <v>0.61391325354075932</v>
      </c>
      <c r="G11" s="4">
        <f>+E11*F11</f>
        <v>638.46978368238968</v>
      </c>
      <c r="H11" s="8">
        <f>+B11*G11</f>
        <v>3192.3489184119485</v>
      </c>
      <c r="I11" s="8">
        <f t="shared" si="1"/>
        <v>70231.67620506286</v>
      </c>
      <c r="J11" s="8">
        <f>A11*(A11+1)*E11/((1+Inputs!$B$16)^(A11+2))</f>
        <v>63702.200639512805</v>
      </c>
    </row>
    <row r="13" spans="1:10" x14ac:dyDescent="0.2">
      <c r="F13" s="5" t="s">
        <v>24</v>
      </c>
      <c r="G13" s="8">
        <f>SUM(G2:G11)</f>
        <v>922.78265070815178</v>
      </c>
    </row>
    <row r="14" spans="1:10" x14ac:dyDescent="0.2">
      <c r="F14" s="5" t="s">
        <v>25</v>
      </c>
      <c r="G14" s="8">
        <f>SUM(H2:H11)/G13</f>
        <v>4.1797945820052549</v>
      </c>
    </row>
    <row r="15" spans="1:10" x14ac:dyDescent="0.2">
      <c r="F15" s="5" t="s">
        <v>26</v>
      </c>
      <c r="G15" s="8">
        <f>G14/(1+Inputs!$B$16)</f>
        <v>3.9807567447669094</v>
      </c>
    </row>
    <row r="16" spans="1:10" x14ac:dyDescent="0.2">
      <c r="F16" s="5" t="s">
        <v>28</v>
      </c>
      <c r="G16" s="8">
        <f>SUM(J2:J11)/(G13*(Inputs!$B$7^2))</f>
        <v>19.573560569955475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DFF3-BB39-E34D-8EA1-13D40E84397A}">
  <dimension ref="A1:J28"/>
  <sheetViews>
    <sheetView tabSelected="1" topLeftCell="A8" zoomScale="140" zoomScaleNormal="140" workbookViewId="0">
      <selection activeCell="K12" sqref="K12"/>
    </sheetView>
  </sheetViews>
  <sheetFormatPr baseColWidth="10" defaultRowHeight="16" x14ac:dyDescent="0.2"/>
  <cols>
    <col min="1" max="1" width="16.6640625" bestFit="1" customWidth="1"/>
    <col min="2" max="2" width="12.5" bestFit="1" customWidth="1"/>
    <col min="3" max="3" width="14.5" bestFit="1" customWidth="1"/>
    <col min="4" max="4" width="9.1640625" bestFit="1" customWidth="1"/>
    <col min="5" max="5" width="20.1640625" bestFit="1" customWidth="1"/>
    <col min="6" max="6" width="12.5" bestFit="1" customWidth="1"/>
    <col min="8" max="8" width="11.33203125" bestFit="1" customWidth="1"/>
    <col min="9" max="9" width="21.5" bestFit="1" customWidth="1"/>
    <col min="10" max="10" width="17.5" bestFit="1" customWidth="1"/>
  </cols>
  <sheetData>
    <row r="1" spans="1:10" ht="22" x14ac:dyDescent="0.2">
      <c r="A1" s="2" t="s">
        <v>29</v>
      </c>
      <c r="B1" s="2"/>
      <c r="C1" s="2"/>
    </row>
    <row r="3" spans="1:10" x14ac:dyDescent="0.2">
      <c r="A3" s="3" t="s">
        <v>30</v>
      </c>
      <c r="B3" s="3" t="s">
        <v>2</v>
      </c>
    </row>
    <row r="4" spans="1:10" x14ac:dyDescent="0.2">
      <c r="A4" t="s">
        <v>31</v>
      </c>
      <c r="B4" s="4">
        <f>'Bond Pricing'!G13</f>
        <v>922.78265070815178</v>
      </c>
    </row>
    <row r="5" spans="1:10" x14ac:dyDescent="0.2">
      <c r="A5" t="s">
        <v>32</v>
      </c>
      <c r="B5" s="8">
        <f>'Bond Pricing'!G14</f>
        <v>4.1797945820052549</v>
      </c>
    </row>
    <row r="6" spans="1:10" x14ac:dyDescent="0.2">
      <c r="A6" t="s">
        <v>26</v>
      </c>
      <c r="B6" s="8">
        <f>'Bond Pricing'!G15</f>
        <v>3.9807567447669094</v>
      </c>
    </row>
    <row r="7" spans="1:10" x14ac:dyDescent="0.2">
      <c r="A7" t="s">
        <v>33</v>
      </c>
      <c r="B7" s="8">
        <f>'Bond Pricing'!G16</f>
        <v>19.573560569955475</v>
      </c>
    </row>
    <row r="10" spans="1:10" x14ac:dyDescent="0.2">
      <c r="A10" s="3" t="s">
        <v>34</v>
      </c>
      <c r="B10" s="3" t="s">
        <v>35</v>
      </c>
      <c r="C10" s="3" t="s">
        <v>36</v>
      </c>
      <c r="D10" s="3" t="s">
        <v>37</v>
      </c>
      <c r="E10" s="3" t="s">
        <v>38</v>
      </c>
      <c r="F10" s="3" t="s">
        <v>39</v>
      </c>
      <c r="G10" s="3" t="s">
        <v>43</v>
      </c>
      <c r="H10" s="3" t="s">
        <v>44</v>
      </c>
      <c r="I10" s="3" t="s">
        <v>45</v>
      </c>
      <c r="J10" s="3" t="s">
        <v>46</v>
      </c>
    </row>
    <row r="11" spans="1:10" x14ac:dyDescent="0.2">
      <c r="A11" t="s">
        <v>40</v>
      </c>
      <c r="B11">
        <f>Inputs!B9</f>
        <v>50</v>
      </c>
      <c r="C11">
        <f>B11/10000</f>
        <v>5.0000000000000001E-3</v>
      </c>
      <c r="D11">
        <f>Inputs!$B$8+C11</f>
        <v>0.10500000000000001</v>
      </c>
      <c r="E11" s="8">
        <f>-$B$6*C11+0.5*$B$7*(C11^2)</f>
        <v>-1.9659114216710107E-2</v>
      </c>
      <c r="F11" s="6">
        <f>$B$4*(1+E11)</f>
        <v>904.64156118068172</v>
      </c>
      <c r="G11" s="6" cm="1">
        <f t="array" ref="G11">SUMPRODUCT('Bond Pricing'!$E$2:$E$11,1/(1+(D11/Inputs!$B$7))^('Bond Pricing'!$A$2:$A$11))</f>
        <v>904.63949409746647</v>
      </c>
      <c r="H11" s="6">
        <f>F11-G11</f>
        <v>2.0670832152518415E-3</v>
      </c>
      <c r="I11" s="8">
        <f>-$B$6*C11</f>
        <v>-1.9903783723834549E-2</v>
      </c>
      <c r="J11" s="6">
        <f>$B$4*(1+I11)</f>
        <v>904.41578440435001</v>
      </c>
    </row>
    <row r="12" spans="1:10" x14ac:dyDescent="0.2">
      <c r="A12" t="s">
        <v>41</v>
      </c>
      <c r="B12">
        <f>Inputs!B10</f>
        <v>100</v>
      </c>
      <c r="C12">
        <f t="shared" ref="C12:C13" si="0">B12/10000</f>
        <v>0.01</v>
      </c>
      <c r="D12">
        <f>Inputs!$B$8+C12</f>
        <v>0.11</v>
      </c>
      <c r="E12" s="8">
        <f t="shared" ref="E12:E13" si="1">-$B$6*C12+0.5*$B$7*(C12^2)</f>
        <v>-3.8828889419171328E-2</v>
      </c>
      <c r="F12" s="6">
        <f t="shared" ref="F12:F13" si="2">$B$4*(1+E12)</f>
        <v>886.9520252058752</v>
      </c>
      <c r="G12" s="6" cm="1">
        <f t="array" ref="G12">SUMPRODUCT('Bond Pricing'!$E$2:$E$11,1/(1+(D12/Inputs!$B$7))^('Bond Pricing'!$A$2:$A$11))</f>
        <v>886.93561257116585</v>
      </c>
      <c r="H12" s="6">
        <f t="shared" ref="H12:H13" si="3">F12-G12</f>
        <v>1.6412634709354279E-2</v>
      </c>
      <c r="I12" s="8">
        <f t="shared" ref="I12:I13" si="4">-$B$6*C12</f>
        <v>-3.9807567447669098E-2</v>
      </c>
      <c r="J12" s="6">
        <f t="shared" ref="J12:J13" si="5">$B$4*(1+I12)</f>
        <v>886.04891810054812</v>
      </c>
    </row>
    <row r="13" spans="1:10" x14ac:dyDescent="0.2">
      <c r="A13" t="s">
        <v>42</v>
      </c>
      <c r="B13">
        <f>Inputs!B11</f>
        <v>-50</v>
      </c>
      <c r="C13">
        <f t="shared" si="0"/>
        <v>-5.0000000000000001E-3</v>
      </c>
      <c r="D13">
        <f>Inputs!$B$8+C13</f>
        <v>9.5000000000000001E-2</v>
      </c>
      <c r="E13" s="8">
        <f t="shared" si="1"/>
        <v>2.0148453230958992E-2</v>
      </c>
      <c r="F13" s="6">
        <f t="shared" si="2"/>
        <v>941.37529378828538</v>
      </c>
      <c r="G13" s="6" cm="1">
        <f t="array" ref="G13">SUMPRODUCT('Bond Pricing'!$E$2:$E$11,1/(1+(D13/Inputs!$B$7))^('Bond Pricing'!$A$2:$A$11))</f>
        <v>941.377392496482</v>
      </c>
      <c r="H13" s="6">
        <f t="shared" si="3"/>
        <v>-2.0987081966268306E-3</v>
      </c>
      <c r="I13" s="8">
        <f t="shared" si="4"/>
        <v>1.9903783723834549E-2</v>
      </c>
      <c r="J13" s="6">
        <f t="shared" si="5"/>
        <v>941.14951701195355</v>
      </c>
    </row>
    <row r="18" spans="1:2" x14ac:dyDescent="0.2">
      <c r="A18" s="3" t="s">
        <v>47</v>
      </c>
      <c r="B18" s="3" t="s">
        <v>24</v>
      </c>
    </row>
    <row r="19" spans="1:2" x14ac:dyDescent="0.2">
      <c r="A19" s="7">
        <v>0.06</v>
      </c>
      <c r="B19" cm="1">
        <f t="array" ref="B19">SUMPRODUCT('Bond Pricing'!$E$2:$E$11,1/((1+(A19/Inputs!$B$7))^('Bond Pricing'!$A$2:$A$11)))</f>
        <v>1085.3020283677583</v>
      </c>
    </row>
    <row r="20" spans="1:2" x14ac:dyDescent="0.2">
      <c r="A20" s="7">
        <v>7.0000000000000007E-2</v>
      </c>
      <c r="B20" cm="1">
        <f t="array" ref="B20">SUMPRODUCT('Bond Pricing'!$E$2:$E$11,1/((1+(A20/Inputs!$B$7))^('Bond Pricing'!$A$2:$A$11)))</f>
        <v>1041.5830266128905</v>
      </c>
    </row>
    <row r="21" spans="1:2" x14ac:dyDescent="0.2">
      <c r="A21" s="7">
        <v>0.08</v>
      </c>
      <c r="B21" cm="1">
        <f t="array" ref="B21">SUMPRODUCT('Bond Pricing'!$E$2:$E$11,1/((1+(A21/Inputs!$B$7))^('Bond Pricing'!$A$2:$A$11)))</f>
        <v>999.99999999999966</v>
      </c>
    </row>
    <row r="22" spans="1:2" x14ac:dyDescent="0.2">
      <c r="A22" s="7">
        <v>0.09</v>
      </c>
      <c r="B22" cm="1">
        <f t="array" ref="B22">SUMPRODUCT('Bond Pricing'!$E$2:$E$11,1/((1+(A22/Inputs!$B$7))^('Bond Pricing'!$A$2:$A$11)))</f>
        <v>960.43640911445016</v>
      </c>
    </row>
    <row r="23" spans="1:2" x14ac:dyDescent="0.2">
      <c r="A23" s="7">
        <v>0.1</v>
      </c>
      <c r="B23" cm="1">
        <f t="array" ref="B23">SUMPRODUCT('Bond Pricing'!$E$2:$E$11,1/((1+(A23/Inputs!$B$7))^('Bond Pricing'!$A$2:$A$11)))</f>
        <v>922.78265070815178</v>
      </c>
    </row>
    <row r="24" spans="1:2" x14ac:dyDescent="0.2">
      <c r="A24" s="7">
        <v>0.11</v>
      </c>
      <c r="B24" cm="1">
        <f t="array" ref="B24">SUMPRODUCT('Bond Pricing'!$E$2:$E$11,1/((1+(A24/Inputs!$B$7))^('Bond Pricing'!$A$2:$A$11)))</f>
        <v>886.93561257116585</v>
      </c>
    </row>
    <row r="25" spans="1:2" x14ac:dyDescent="0.2">
      <c r="A25" s="7">
        <v>0.12</v>
      </c>
      <c r="B25" cm="1">
        <f t="array" ref="B25">SUMPRODUCT('Bond Pricing'!$E$2:$E$11,1/((1+(A25/Inputs!$B$7))^('Bond Pricing'!$A$2:$A$11)))</f>
        <v>852.79825897170565</v>
      </c>
    </row>
    <row r="26" spans="1:2" x14ac:dyDescent="0.2">
      <c r="A26" s="7">
        <v>0.13</v>
      </c>
      <c r="B26" cm="1">
        <f t="array" ref="B26">SUMPRODUCT('Bond Pricing'!$E$2:$E$11,1/((1+(A26/Inputs!$B$7))^('Bond Pricing'!$A$2:$A$11)))</f>
        <v>820.27924443097288</v>
      </c>
    </row>
    <row r="27" spans="1:2" x14ac:dyDescent="0.2">
      <c r="A27" s="7">
        <v>0.14000000000000001</v>
      </c>
      <c r="B27" cm="1">
        <f t="array" ref="B27">SUMPRODUCT('Bond Pricing'!$E$2:$E$11,1/((1+(A27/Inputs!$B$7))^('Bond Pricing'!$A$2:$A$11)))</f>
        <v>789.29255377202185</v>
      </c>
    </row>
    <row r="28" spans="1:2" x14ac:dyDescent="0.2">
      <c r="A28" s="7">
        <v>0.15</v>
      </c>
      <c r="B28" cm="1">
        <f t="array" ref="B28">SUMPRODUCT('Bond Pricing'!$E$2:$E$11,1/((1+(A28/Inputs!$B$7))^('Bond Pricing'!$A$2:$A$11)))</f>
        <v>759.75716654068356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Inputs</vt:lpstr>
      <vt:lpstr>Bond Pricing</vt:lpstr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RAZO ALCANTARA</dc:creator>
  <cp:lastModifiedBy>MANUEL RAZO ALCANTARA</cp:lastModifiedBy>
  <dcterms:created xsi:type="dcterms:W3CDTF">2026-03-10T01:11:02Z</dcterms:created>
  <dcterms:modified xsi:type="dcterms:W3CDTF">2026-03-10T03:25:09Z</dcterms:modified>
</cp:coreProperties>
</file>